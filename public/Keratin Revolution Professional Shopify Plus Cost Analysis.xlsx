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ratin Revolution Professiona" sheetId="1" r:id="rId5"/>
  </sheets>
  <definedNames/>
  <calcPr/>
</workbook>
</file>

<file path=xl/sharedStrings.xml><?xml version="1.0" encoding="utf-8"?>
<sst xmlns="http://schemas.openxmlformats.org/spreadsheetml/2006/main" count="68" uniqueCount="63">
  <si>
    <t>Keratin Revolution Professional</t>
  </si>
  <si>
    <t>Total Online Sales</t>
  </si>
  <si>
    <t>Shopify Payments</t>
  </si>
  <si>
    <t>Paypal</t>
  </si>
  <si>
    <r>
      <rPr>
        <rFont val="Arial"/>
        <b/>
        <color theme="1"/>
      </rPr>
      <t xml:space="preserve">3rd Party Transactions (SP </t>
    </r>
    <r>
      <rPr>
        <rFont val="Arial"/>
        <b/>
        <color rgb="FF6AA84F"/>
      </rPr>
      <t>Enabled</t>
    </r>
    <r>
      <rPr>
        <rFont val="Arial"/>
        <b/>
        <color theme="1"/>
      </rPr>
      <t>)</t>
    </r>
  </si>
  <si>
    <r>
      <rPr>
        <rFont val="Arial"/>
        <b/>
        <color theme="1"/>
      </rPr>
      <t xml:space="preserve">3rd Party &amp; PayPal Transactions (SP </t>
    </r>
    <r>
      <rPr>
        <rFont val="Arial"/>
        <b/>
        <color rgb="FFFF0000"/>
      </rPr>
      <t>Disabled</t>
    </r>
    <r>
      <rPr>
        <rFont val="Arial"/>
        <b/>
        <color theme="1"/>
      </rPr>
      <t>)</t>
    </r>
  </si>
  <si>
    <t>Plus Plan Cost in USD</t>
  </si>
  <si>
    <t>Revenue last 365 days</t>
  </si>
  <si>
    <t>Current CC Rate</t>
  </si>
  <si>
    <t>3rd Party CC Rate</t>
  </si>
  <si>
    <t>Plus CC Rate</t>
  </si>
  <si>
    <t>Plus 3rd Party CC Rate</t>
  </si>
  <si>
    <t>Current Plan in USD Per Month</t>
  </si>
  <si>
    <t>Currency Exchange</t>
  </si>
  <si>
    <t>Current Plan:</t>
  </si>
  <si>
    <t>Monthly</t>
  </si>
  <si>
    <t>Annual</t>
  </si>
  <si>
    <t>Save/month</t>
  </si>
  <si>
    <t>Projected:</t>
  </si>
  <si>
    <t>Professional</t>
  </si>
  <si>
    <t>Plus Plan in £</t>
  </si>
  <si>
    <r>
      <rPr>
        <rFont val="Arial"/>
        <b/>
        <color theme="1"/>
      </rPr>
      <t xml:space="preserve">3rd Party &amp; PayPal Transactions (SP </t>
    </r>
    <r>
      <rPr>
        <rFont val="Arial"/>
        <b/>
        <color rgb="FFFF0000"/>
      </rPr>
      <t>Disabled</t>
    </r>
    <r>
      <rPr>
        <rFont val="Arial"/>
        <b/>
        <color theme="1"/>
      </rPr>
      <t>)</t>
    </r>
  </si>
  <si>
    <r>
      <rPr>
        <rFont val="Arial"/>
        <b/>
        <color theme="1"/>
      </rPr>
      <t xml:space="preserve">3rd Party &amp; PayPal Transactions (SP </t>
    </r>
    <r>
      <rPr>
        <rFont val="Arial"/>
        <b/>
        <color rgb="FFFF0000"/>
      </rPr>
      <t>Disabled</t>
    </r>
    <r>
      <rPr>
        <rFont val="Arial"/>
        <b/>
        <color theme="1"/>
      </rPr>
      <t>)</t>
    </r>
  </si>
  <si>
    <r>
      <rPr>
        <rFont val="Arial"/>
        <b/>
        <color theme="1"/>
      </rPr>
      <t xml:space="preserve">3rd Party Transactions (SP </t>
    </r>
    <r>
      <rPr>
        <rFont val="Arial"/>
        <b/>
        <color rgb="FF6AA84F"/>
      </rPr>
      <t>Enabled</t>
    </r>
    <r>
      <rPr>
        <rFont val="Arial"/>
        <b/>
        <color theme="1"/>
      </rPr>
      <t>)</t>
    </r>
  </si>
  <si>
    <r>
      <rPr>
        <rFont val="Arial"/>
        <b/>
        <color theme="1"/>
      </rPr>
      <t xml:space="preserve">3rd Party Transactions (SP </t>
    </r>
    <r>
      <rPr>
        <rFont val="Arial"/>
        <b/>
        <color rgb="FF6AA84F"/>
      </rPr>
      <t>Enabled</t>
    </r>
    <r>
      <rPr>
        <rFont val="Arial"/>
        <b/>
        <color theme="1"/>
      </rPr>
      <t>)</t>
    </r>
  </si>
  <si>
    <t>POS Pro</t>
  </si>
  <si>
    <t>POS Pro @ 0$ Up to 20 locations</t>
  </si>
  <si>
    <t>Additional Plans (suitable expansion store)</t>
  </si>
  <si>
    <t>Total save:</t>
  </si>
  <si>
    <t>Expansion Stores x9</t>
  </si>
  <si>
    <t>Current Total Cost:</t>
  </si>
  <si>
    <t>Total:</t>
  </si>
  <si>
    <t>Cost upgrading to Plus:</t>
  </si>
  <si>
    <t>Sessions converted</t>
  </si>
  <si>
    <t>Store Conversion</t>
  </si>
  <si>
    <t>Total Sessions last 12 months</t>
  </si>
  <si>
    <t>Reached checkout</t>
  </si>
  <si>
    <t>Dropoff rate</t>
  </si>
  <si>
    <t>SUMMARY</t>
  </si>
  <si>
    <t>Potential lost revenue</t>
  </si>
  <si>
    <t>Based on AOV</t>
  </si>
  <si>
    <t>Monthly Plan</t>
  </si>
  <si>
    <t>Potential additional revenue through Checkout Extensibility</t>
  </si>
  <si>
    <t>Monthly Payments fees</t>
  </si>
  <si>
    <t>Current average order value (AOV)</t>
  </si>
  <si>
    <t>Cost Upgrading</t>
  </si>
  <si>
    <t>Current Total Orders last 365 days</t>
  </si>
  <si>
    <t>Monthly Net benefit from Checkout Customisation 
5% Uplift</t>
  </si>
  <si>
    <t>None</t>
  </si>
  <si>
    <t>Estimate net benefit upgrading (uplift-cost)</t>
  </si>
  <si>
    <t>Poor Case</t>
  </si>
  <si>
    <t>Avg Case</t>
  </si>
  <si>
    <t>Good Case</t>
  </si>
  <si>
    <t>Conversion Rate Uplift</t>
  </si>
  <si>
    <t xml:space="preserve">Projected Uplift % </t>
  </si>
  <si>
    <t xml:space="preserve">Potential Additional Monthly Sales </t>
  </si>
  <si>
    <t>AOV Uplift</t>
  </si>
  <si>
    <t xml:space="preserve">Potential Monthly Increase in AOV </t>
  </si>
  <si>
    <t>Total Benefit Monthly</t>
  </si>
  <si>
    <t>Average increased Platform Costs</t>
  </si>
  <si>
    <t>Net Benefit per month based on AOV and Conversion Uplift</t>
  </si>
  <si>
    <t>Net Benefit per year based on AOV and Conversion Uplift</t>
  </si>
  <si>
    <t>*Remember that all potential sales figures are approximations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</si>
</sst>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]#,##0.00"/>
    <numFmt numFmtId="165" formatCode="[$$]#,##0.00"/>
    <numFmt numFmtId="166" formatCode="0.0%"/>
    <numFmt numFmtId="167" formatCode="[$€]#,##0.00"/>
  </numFmts>
  <fonts count="22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b/>
      <sz val="10.0"/>
      <color theme="1"/>
      <name val="Arial"/>
    </font>
    <font>
      <sz val="10.0"/>
      <color rgb="FF202223"/>
      <name val="Arial"/>
    </font>
    <font>
      <sz val="10.0"/>
      <color theme="1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  <scheme val="minor"/>
    </font>
    <font>
      <color theme="1"/>
      <name val="Arial"/>
    </font>
    <font>
      <b/>
      <color rgb="FFFFFFFF"/>
      <name val="Arial"/>
    </font>
    <font>
      <color rgb="FF202223"/>
      <name val="Arial"/>
    </font>
    <font>
      <b/>
      <sz val="10.0"/>
      <color rgb="FF202223"/>
      <name val="Arial"/>
    </font>
    <font>
      <b/>
      <sz val="10.0"/>
      <color rgb="FFFFFF00"/>
      <name val="Arial"/>
    </font>
    <font>
      <sz val="10.0"/>
      <color rgb="FF000000"/>
      <name val="Arial"/>
    </font>
    <font>
      <b/>
      <color rgb="FF000000"/>
      <name val="Arial"/>
    </font>
    <font>
      <color theme="1"/>
      <name val="Arial"/>
      <scheme val="minor"/>
    </font>
    <font>
      <b/>
      <sz val="10.0"/>
      <color rgb="FFFFFFFF"/>
      <name val="Arial"/>
    </font>
    <font/>
    <font>
      <b/>
      <sz val="10.0"/>
      <color rgb="FF6AA84F"/>
      <name val="Arial"/>
    </font>
    <font>
      <sz val="10.0"/>
      <color rgb="FFFF0000"/>
      <name val="Arial"/>
    </font>
    <font>
      <i/>
      <sz val="8.0"/>
      <color rgb="FF1F1F1F"/>
      <name val="&quot;Google Sans&quot;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34">
    <border/>
    <border>
      <left style="thick">
        <color rgb="FF6AA84F"/>
      </left>
      <right style="thick">
        <color rgb="FF6AA84F"/>
      </right>
      <top style="thick">
        <color rgb="FF6AA84F"/>
      </top>
      <bottom style="thick">
        <color rgb="FF6AA84F"/>
      </bottom>
    </border>
    <border>
      <left style="thick">
        <color rgb="FF6AA84F"/>
      </left>
      <right style="thin">
        <color rgb="FF000000"/>
      </right>
      <top style="thin">
        <color rgb="FF000000"/>
      </top>
      <bottom style="thick">
        <color rgb="FF6AA84F"/>
      </bottom>
    </border>
    <border>
      <right style="thin">
        <color rgb="FF000000"/>
      </right>
      <top style="thin">
        <color rgb="FF000000"/>
      </top>
      <bottom style="thick">
        <color rgb="FF6AA84F"/>
      </bottom>
    </border>
    <border>
      <left style="medium">
        <color rgb="FF000000"/>
      </left>
      <right style="thin">
        <color rgb="FF000000"/>
      </right>
      <top style="thick">
        <color rgb="FF6AA84F"/>
      </top>
      <bottom style="medium">
        <color rgb="FF000000"/>
      </bottom>
    </border>
    <border>
      <right style="thin">
        <color rgb="FF000000"/>
      </right>
      <top style="thick">
        <color rgb="FF6AA84F"/>
      </top>
      <bottom style="medium">
        <color rgb="FF000000"/>
      </bottom>
    </border>
    <border>
      <right style="thin">
        <color rgb="FF000000"/>
      </right>
      <top style="thick">
        <color rgb="FF6AA84F"/>
      </top>
      <bottom style="thick">
        <color rgb="FF6AA84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6AA84F"/>
      </right>
      <top style="thick">
        <color rgb="FF6AA84F"/>
      </top>
      <bottom style="thick">
        <color rgb="FF6AA84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ck">
        <color rgb="FF6AA84F"/>
      </left>
      <right style="thin">
        <color rgb="FF000000"/>
      </right>
      <top style="thick">
        <color rgb="FF6AA84F"/>
      </top>
      <bottom style="thick">
        <color rgb="FF6AA84F"/>
      </bottom>
    </border>
    <border>
      <left style="thin">
        <color rgb="FF000000"/>
      </left>
    </border>
    <border>
      <left style="thick">
        <color rgb="FF6AA84F"/>
      </left>
      <right style="thin">
        <color rgb="FF000000"/>
      </right>
      <bottom style="thick">
        <color rgb="FF6AA84F"/>
      </bottom>
    </border>
    <border>
      <left style="thick">
        <color rgb="FF6AA84F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ck">
        <color rgb="FF6AA84F"/>
      </left>
      <right style="thick">
        <color rgb="FF6AA84F"/>
      </right>
      <bottom style="thick">
        <color rgb="FF6AA84F"/>
      </bottom>
    </border>
    <border>
      <left style="thick">
        <color rgb="FF00FF00"/>
      </left>
      <right style="thick">
        <color rgb="FF00FF00"/>
      </right>
      <top style="thick">
        <color rgb="FF00FF00"/>
      </top>
      <bottom style="thick">
        <color rgb="FF00FF00"/>
      </bottom>
    </border>
    <border>
      <right style="thin">
        <color rgb="FF000000"/>
      </right>
      <top style="thin">
        <color rgb="FF000000"/>
      </top>
    </border>
    <border>
      <left style="thick">
        <color rgb="FF6AA84F"/>
      </left>
      <top style="thick">
        <color rgb="FF6AA84F"/>
      </top>
      <bottom style="thick">
        <color rgb="FF6AA84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FF00"/>
      </left>
      <right style="thick">
        <color rgb="FF00FF00"/>
      </right>
      <top style="thick">
        <color rgb="FF00FF00"/>
      </top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3" xfId="0" applyAlignment="1" applyBorder="1" applyFont="1" applyNumberFormat="1">
      <alignment horizontal="center" readingOrder="0" vertical="bottom"/>
    </xf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1" fillId="2" fontId="4" numFmtId="164" xfId="0" applyAlignment="1" applyBorder="1" applyFont="1" applyNumberFormat="1">
      <alignment horizontal="center" readingOrder="0" vertical="bottom"/>
    </xf>
    <xf borderId="1" fillId="2" fontId="5" numFmtId="164" xfId="0" applyAlignment="1" applyBorder="1" applyFont="1" applyNumberFormat="1">
      <alignment horizontal="center" readingOrder="0" vertical="bottom"/>
    </xf>
    <xf borderId="1" fillId="2" fontId="5" numFmtId="164" xfId="0" applyAlignment="1" applyBorder="1" applyFont="1" applyNumberFormat="1">
      <alignment horizontal="center" readingOrder="0"/>
    </xf>
    <xf borderId="1" fillId="2" fontId="6" numFmtId="165" xfId="0" applyAlignment="1" applyBorder="1" applyFont="1" applyNumberFormat="1">
      <alignment horizontal="center" readingOrder="0"/>
    </xf>
    <xf borderId="0" fillId="3" fontId="3" numFmtId="0" xfId="0" applyAlignment="1" applyFill="1" applyFont="1">
      <alignment readingOrder="0" vertical="bottom"/>
    </xf>
    <xf borderId="4" fillId="0" fontId="2" numFmtId="164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0" fillId="0" fontId="3" numFmtId="164" xfId="0" applyAlignment="1" applyFont="1" applyNumberFormat="1">
      <alignment readingOrder="0" vertical="bottom"/>
    </xf>
    <xf borderId="7" fillId="3" fontId="3" numFmtId="166" xfId="0" applyAlignment="1" applyBorder="1" applyFont="1" applyNumberFormat="1">
      <alignment horizontal="center" readingOrder="0" vertical="bottom"/>
    </xf>
    <xf borderId="7" fillId="3" fontId="3" numFmtId="166" xfId="0" applyAlignment="1" applyBorder="1" applyFont="1" applyNumberFormat="1">
      <alignment horizontal="center" readingOrder="0" vertical="bottom"/>
    </xf>
    <xf borderId="7" fillId="3" fontId="3" numFmtId="10" xfId="0" applyAlignment="1" applyBorder="1" applyFont="1" applyNumberFormat="1">
      <alignment horizontal="center" readingOrder="0" vertical="bottom"/>
    </xf>
    <xf borderId="8" fillId="2" fontId="3" numFmtId="165" xfId="0" applyAlignment="1" applyBorder="1" applyFont="1" applyNumberFormat="1">
      <alignment horizontal="center" readingOrder="0" vertical="bottom"/>
    </xf>
    <xf borderId="1" fillId="2" fontId="7" numFmtId="0" xfId="0" applyAlignment="1" applyBorder="1" applyFont="1">
      <alignment horizontal="center" readingOrder="0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9" fillId="0" fontId="3" numFmtId="0" xfId="0" applyAlignment="1" applyBorder="1" applyFont="1">
      <alignment vertical="bottom"/>
    </xf>
    <xf borderId="10" fillId="0" fontId="2" numFmtId="0" xfId="0" applyAlignment="1" applyBorder="1" applyFont="1">
      <alignment readingOrder="0" vertical="bottom"/>
    </xf>
    <xf borderId="11" fillId="0" fontId="2" numFmtId="164" xfId="0" applyAlignment="1" applyBorder="1" applyFont="1" applyNumberFormat="1">
      <alignment horizontal="center" vertical="bottom"/>
    </xf>
    <xf borderId="12" fillId="0" fontId="2" numFmtId="164" xfId="0" applyAlignment="1" applyBorder="1" applyFont="1" applyNumberFormat="1">
      <alignment horizontal="center" vertical="bottom"/>
    </xf>
    <xf borderId="13" fillId="4" fontId="8" numFmtId="0" xfId="0" applyAlignment="1" applyBorder="1" applyFill="1" applyFont="1">
      <alignment horizontal="center" readingOrder="0" vertical="bottom"/>
    </xf>
    <xf borderId="11" fillId="0" fontId="2" numFmtId="0" xfId="0" applyAlignment="1" applyBorder="1" applyFont="1">
      <alignment vertical="bottom"/>
    </xf>
    <xf borderId="11" fillId="0" fontId="2" numFmtId="0" xfId="0" applyAlignment="1" applyBorder="1" applyFont="1">
      <alignment horizontal="center" vertical="bottom"/>
    </xf>
    <xf borderId="14" fillId="0" fontId="2" numFmtId="0" xfId="0" applyAlignment="1" applyBorder="1" applyFont="1">
      <alignment readingOrder="0" vertical="bottom"/>
    </xf>
    <xf borderId="15" fillId="3" fontId="9" numFmtId="164" xfId="0" applyAlignment="1" applyBorder="1" applyFont="1" applyNumberFormat="1">
      <alignment horizontal="center" readingOrder="0" vertical="bottom"/>
    </xf>
    <xf borderId="9" fillId="3" fontId="9" numFmtId="164" xfId="0" applyAlignment="1" applyBorder="1" applyFont="1" applyNumberFormat="1">
      <alignment horizontal="center" vertical="bottom"/>
    </xf>
    <xf borderId="16" fillId="4" fontId="8" numFmtId="167" xfId="0" applyAlignment="1" applyBorder="1" applyFont="1" applyNumberFormat="1">
      <alignment horizontal="center" vertical="bottom"/>
    </xf>
    <xf borderId="15" fillId="3" fontId="2" numFmtId="167" xfId="0" applyAlignment="1" applyBorder="1" applyFont="1" applyNumberFormat="1">
      <alignment readingOrder="0" vertical="bottom"/>
    </xf>
    <xf borderId="15" fillId="0" fontId="9" numFmtId="164" xfId="0" applyAlignment="1" applyBorder="1" applyFont="1" applyNumberFormat="1">
      <alignment horizontal="center" vertical="bottom"/>
    </xf>
    <xf borderId="15" fillId="3" fontId="9" numFmtId="164" xfId="0" applyAlignment="1" applyBorder="1" applyFont="1" applyNumberFormat="1">
      <alignment horizontal="center" vertical="bottom"/>
    </xf>
    <xf borderId="14" fillId="0" fontId="2" numFmtId="0" xfId="0" applyAlignment="1" applyBorder="1" applyFont="1">
      <alignment vertical="bottom"/>
    </xf>
    <xf borderId="9" fillId="0" fontId="9" numFmtId="164" xfId="0" applyAlignment="1" applyBorder="1" applyFont="1" applyNumberFormat="1">
      <alignment horizontal="center" vertical="bottom"/>
    </xf>
    <xf borderId="16" fillId="4" fontId="9" numFmtId="164" xfId="0" applyAlignment="1" applyBorder="1" applyFont="1" applyNumberFormat="1">
      <alignment horizontal="center" vertical="bottom"/>
    </xf>
    <xf borderId="15" fillId="3" fontId="2" numFmtId="167" xfId="0" applyAlignment="1" applyBorder="1" applyFont="1" applyNumberFormat="1">
      <alignment vertical="bottom"/>
    </xf>
    <xf borderId="15" fillId="0" fontId="2" numFmtId="0" xfId="0" applyAlignment="1" applyBorder="1" applyFont="1">
      <alignment vertical="bottom"/>
    </xf>
    <xf borderId="15" fillId="0" fontId="2" numFmtId="0" xfId="0" applyAlignment="1" applyBorder="1" applyFont="1">
      <alignment readingOrder="0" vertical="bottom"/>
    </xf>
    <xf borderId="9" fillId="2" fontId="9" numFmtId="164" xfId="0" applyAlignment="1" applyBorder="1" applyFont="1" applyNumberFormat="1">
      <alignment horizontal="center" readingOrder="0" vertical="bottom"/>
    </xf>
    <xf borderId="16" fillId="4" fontId="9" numFmtId="165" xfId="0" applyAlignment="1" applyBorder="1" applyFont="1" applyNumberFormat="1">
      <alignment horizontal="center" vertical="bottom"/>
    </xf>
    <xf borderId="15" fillId="0" fontId="2" numFmtId="0" xfId="0" applyAlignment="1" applyBorder="1" applyFont="1">
      <alignment vertical="bottom"/>
    </xf>
    <xf borderId="16" fillId="4" fontId="9" numFmtId="167" xfId="0" applyAlignment="1" applyBorder="1" applyFont="1" applyNumberFormat="1">
      <alignment readingOrder="0" vertical="bottom"/>
    </xf>
    <xf borderId="15" fillId="0" fontId="2" numFmtId="167" xfId="0" applyAlignment="1" applyBorder="1" applyFont="1" applyNumberFormat="1">
      <alignment vertical="bottom"/>
    </xf>
    <xf borderId="14" fillId="5" fontId="10" numFmtId="0" xfId="0" applyAlignment="1" applyBorder="1" applyFill="1" applyFont="1">
      <alignment readingOrder="0" vertical="bottom"/>
    </xf>
    <xf borderId="11" fillId="5" fontId="10" numFmtId="167" xfId="0" applyAlignment="1" applyBorder="1" applyFont="1" applyNumberFormat="1">
      <alignment vertical="bottom"/>
    </xf>
    <xf borderId="9" fillId="0" fontId="9" numFmtId="0" xfId="0" applyAlignment="1" applyBorder="1" applyFont="1">
      <alignment vertical="bottom"/>
    </xf>
    <xf borderId="9" fillId="0" fontId="9" numFmtId="165" xfId="0" applyAlignment="1" applyBorder="1" applyFont="1" applyNumberFormat="1">
      <alignment vertical="bottom"/>
    </xf>
    <xf borderId="17" fillId="0" fontId="9" numFmtId="4" xfId="0" applyAlignment="1" applyBorder="1" applyFont="1" applyNumberFormat="1">
      <alignment vertical="bottom"/>
    </xf>
    <xf borderId="16" fillId="6" fontId="10" numFmtId="164" xfId="0" applyAlignment="1" applyBorder="1" applyFill="1" applyFont="1" applyNumberFormat="1">
      <alignment vertical="bottom"/>
    </xf>
    <xf borderId="15" fillId="0" fontId="2" numFmtId="164" xfId="0" applyAlignment="1" applyBorder="1" applyFont="1" applyNumberFormat="1">
      <alignment horizontal="center" vertical="bottom"/>
    </xf>
    <xf borderId="18" fillId="0" fontId="3" numFmtId="0" xfId="0" applyAlignment="1" applyBorder="1" applyFont="1">
      <alignment readingOrder="0"/>
    </xf>
    <xf borderId="19" fillId="0" fontId="5" numFmtId="0" xfId="0" applyBorder="1" applyFont="1"/>
    <xf borderId="11" fillId="0" fontId="3" numFmtId="0" xfId="0" applyAlignment="1" applyBorder="1" applyFont="1">
      <alignment horizontal="center" readingOrder="0"/>
    </xf>
    <xf borderId="0" fillId="0" fontId="5" numFmtId="0" xfId="0" applyFont="1"/>
    <xf borderId="18" fillId="0" fontId="5" numFmtId="0" xfId="0" applyAlignment="1" applyBorder="1" applyFont="1">
      <alignment readingOrder="0"/>
    </xf>
    <xf borderId="20" fillId="2" fontId="9" numFmtId="3" xfId="0" applyAlignment="1" applyBorder="1" applyFont="1" applyNumberFormat="1">
      <alignment horizontal="center" readingOrder="0" vertical="bottom"/>
    </xf>
    <xf borderId="18" fillId="3" fontId="3" numFmtId="0" xfId="0" applyAlignment="1" applyBorder="1" applyFont="1">
      <alignment horizontal="right" readingOrder="0"/>
    </xf>
    <xf borderId="21" fillId="0" fontId="3" numFmtId="164" xfId="0" applyAlignment="1" applyBorder="1" applyFont="1" applyNumberFormat="1">
      <alignment horizontal="center" readingOrder="0"/>
    </xf>
    <xf borderId="22" fillId="2" fontId="11" numFmtId="3" xfId="0" applyAlignment="1" applyBorder="1" applyFont="1" applyNumberFormat="1">
      <alignment horizontal="center" readingOrder="0" vertical="bottom"/>
    </xf>
    <xf borderId="10" fillId="3" fontId="4" numFmtId="10" xfId="0" applyAlignment="1" applyBorder="1" applyFont="1" applyNumberFormat="1">
      <alignment horizontal="center" readingOrder="0"/>
    </xf>
    <xf borderId="23" fillId="2" fontId="11" numFmtId="3" xfId="0" applyAlignment="1" applyBorder="1" applyFont="1" applyNumberFormat="1">
      <alignment horizontal="center" readingOrder="0" vertical="bottom"/>
    </xf>
    <xf borderId="10" fillId="3" fontId="12" numFmtId="10" xfId="0" applyAlignment="1" applyBorder="1" applyFont="1" applyNumberFormat="1">
      <alignment horizontal="center" readingOrder="0"/>
    </xf>
    <xf borderId="0" fillId="0" fontId="5" numFmtId="10" xfId="0" applyAlignment="1" applyFont="1" applyNumberFormat="1">
      <alignment readingOrder="0"/>
    </xf>
    <xf borderId="0" fillId="3" fontId="13" numFmtId="0" xfId="0" applyAlignment="1" applyFont="1">
      <alignment horizontal="center" readingOrder="0"/>
    </xf>
    <xf borderId="10" fillId="7" fontId="13" numFmtId="0" xfId="0" applyAlignment="1" applyBorder="1" applyFill="1" applyFont="1">
      <alignment horizontal="center" readingOrder="0"/>
    </xf>
    <xf borderId="10" fillId="8" fontId="3" numFmtId="10" xfId="0" applyAlignment="1" applyBorder="1" applyFill="1" applyFont="1" applyNumberFormat="1">
      <alignment horizontal="center"/>
    </xf>
    <xf borderId="0" fillId="7" fontId="13" numFmtId="0" xfId="0" applyAlignment="1" applyFont="1">
      <alignment horizontal="center" readingOrder="0"/>
    </xf>
    <xf borderId="10" fillId="8" fontId="3" numFmtId="164" xfId="0" applyAlignment="1" applyBorder="1" applyFont="1" applyNumberFormat="1">
      <alignment horizontal="center"/>
    </xf>
    <xf borderId="0" fillId="3" fontId="14" numFmtId="0" xfId="0" applyAlignment="1" applyFont="1">
      <alignment horizontal="center" readingOrder="0"/>
    </xf>
    <xf borderId="10" fillId="0" fontId="15" numFmtId="0" xfId="0" applyAlignment="1" applyBorder="1" applyFont="1">
      <alignment horizontal="center" readingOrder="0" shrinkToFit="0" wrapText="1"/>
    </xf>
    <xf borderId="10" fillId="0" fontId="16" numFmtId="0" xfId="0" applyAlignment="1" applyBorder="1" applyFont="1">
      <alignment horizontal="center" shrinkToFit="0" vertical="top" wrapText="1"/>
    </xf>
    <xf borderId="10" fillId="3" fontId="15" numFmtId="0" xfId="0" applyAlignment="1" applyBorder="1" applyFont="1">
      <alignment horizontal="center" readingOrder="0" shrinkToFit="0" wrapText="1"/>
    </xf>
    <xf borderId="10" fillId="3" fontId="15" numFmtId="164" xfId="0" applyAlignment="1" applyBorder="1" applyFont="1" applyNumberFormat="1">
      <alignment horizontal="center" readingOrder="0" shrinkToFit="0" wrapText="1"/>
    </xf>
    <xf borderId="21" fillId="5" fontId="17" numFmtId="0" xfId="0" applyAlignment="1" applyBorder="1" applyFont="1">
      <alignment readingOrder="0"/>
    </xf>
    <xf borderId="24" fillId="0" fontId="5" numFmtId="0" xfId="0" applyAlignment="1" applyBorder="1" applyFont="1">
      <alignment readingOrder="0"/>
    </xf>
    <xf borderId="1" fillId="2" fontId="2" numFmtId="164" xfId="0" applyAlignment="1" applyBorder="1" applyFont="1" applyNumberFormat="1">
      <alignment horizontal="center" readingOrder="0" vertical="bottom"/>
    </xf>
    <xf borderId="18" fillId="3" fontId="15" numFmtId="164" xfId="0" applyAlignment="1" applyBorder="1" applyFont="1" applyNumberFormat="1">
      <alignment horizontal="center" readingOrder="0" shrinkToFit="0" wrapText="1"/>
    </xf>
    <xf borderId="11" fillId="0" fontId="18" numFmtId="0" xfId="0" applyBorder="1" applyFont="1"/>
    <xf borderId="25" fillId="2" fontId="2" numFmtId="1" xfId="0" applyAlignment="1" applyBorder="1" applyFont="1" applyNumberFormat="1">
      <alignment horizontal="center" readingOrder="0" vertical="bottom"/>
    </xf>
    <xf borderId="0" fillId="0" fontId="5" numFmtId="10" xfId="0" applyAlignment="1" applyFont="1" applyNumberFormat="1">
      <alignment horizontal="center" vertical="bottom"/>
    </xf>
    <xf borderId="10" fillId="0" fontId="15" numFmtId="167" xfId="0" applyAlignment="1" applyBorder="1" applyFont="1" applyNumberFormat="1">
      <alignment horizontal="center" readingOrder="0" shrinkToFit="0" wrapText="1"/>
    </xf>
    <xf borderId="10" fillId="9" fontId="15" numFmtId="0" xfId="0" applyAlignment="1" applyBorder="1" applyFill="1" applyFont="1">
      <alignment horizontal="center" readingOrder="0" shrinkToFit="0" wrapText="1"/>
    </xf>
    <xf borderId="18" fillId="9" fontId="15" numFmtId="164" xfId="0" applyAlignment="1" applyBorder="1" applyFont="1" applyNumberFormat="1">
      <alignment horizontal="center" readingOrder="0" shrinkToFit="0" wrapText="1"/>
    </xf>
    <xf borderId="24" fillId="0" fontId="5" numFmtId="0" xfId="0" applyAlignment="1" applyBorder="1" applyFont="1">
      <alignment horizontal="center" readingOrder="0"/>
    </xf>
    <xf borderId="26" fillId="0" fontId="5" numFmtId="0" xfId="0" applyAlignment="1" applyBorder="1" applyFont="1">
      <alignment horizontal="center" readingOrder="0"/>
    </xf>
    <xf borderId="27" fillId="0" fontId="5" numFmtId="0" xfId="0" applyAlignment="1" applyBorder="1" applyFont="1">
      <alignment horizontal="center" readingOrder="0"/>
    </xf>
    <xf borderId="0" fillId="10" fontId="5" numFmtId="0" xfId="0" applyFill="1" applyFont="1"/>
    <xf borderId="18" fillId="5" fontId="17" numFmtId="0" xfId="0" applyAlignment="1" applyBorder="1" applyFont="1">
      <alignment readingOrder="0"/>
    </xf>
    <xf borderId="28" fillId="2" fontId="7" numFmtId="9" xfId="0" applyAlignment="1" applyBorder="1" applyFont="1" applyNumberFormat="1">
      <alignment horizontal="center" readingOrder="0"/>
    </xf>
    <xf borderId="26" fillId="2" fontId="7" numFmtId="9" xfId="0" applyAlignment="1" applyBorder="1" applyFont="1" applyNumberFormat="1">
      <alignment horizontal="center" readingOrder="0"/>
    </xf>
    <xf borderId="8" fillId="2" fontId="7" numFmtId="9" xfId="0" applyAlignment="1" applyBorder="1" applyFont="1" applyNumberFormat="1">
      <alignment horizontal="center" readingOrder="0"/>
    </xf>
    <xf borderId="10" fillId="3" fontId="3" numFmtId="0" xfId="0" applyAlignment="1" applyBorder="1" applyFont="1">
      <alignment readingOrder="0"/>
    </xf>
    <xf borderId="29" fillId="3" fontId="14" numFmtId="10" xfId="0" applyAlignment="1" applyBorder="1" applyFont="1" applyNumberFormat="1">
      <alignment horizontal="center"/>
    </xf>
    <xf borderId="26" fillId="3" fontId="14" numFmtId="10" xfId="0" applyAlignment="1" applyBorder="1" applyFont="1" applyNumberFormat="1">
      <alignment horizontal="center"/>
    </xf>
    <xf borderId="15" fillId="3" fontId="14" numFmtId="10" xfId="0" applyAlignment="1" applyBorder="1" applyFont="1" applyNumberFormat="1">
      <alignment horizontal="center"/>
    </xf>
    <xf borderId="10" fillId="3" fontId="7" numFmtId="0" xfId="0" applyAlignment="1" applyBorder="1" applyFont="1">
      <alignment readingOrder="0"/>
    </xf>
    <xf borderId="24" fillId="3" fontId="7" numFmtId="164" xfId="0" applyAlignment="1" applyBorder="1" applyFont="1" applyNumberFormat="1">
      <alignment horizontal="center"/>
    </xf>
    <xf borderId="26" fillId="3" fontId="7" numFmtId="164" xfId="0" applyAlignment="1" applyBorder="1" applyFont="1" applyNumberFormat="1">
      <alignment horizontal="center"/>
    </xf>
    <xf borderId="27" fillId="3" fontId="7" numFmtId="164" xfId="0" applyAlignment="1" applyBorder="1" applyFont="1" applyNumberFormat="1">
      <alignment horizontal="center"/>
    </xf>
    <xf borderId="0" fillId="0" fontId="5" numFmtId="0" xfId="0" applyAlignment="1" applyFont="1">
      <alignment readingOrder="0"/>
    </xf>
    <xf borderId="13" fillId="0" fontId="3" numFmtId="0" xfId="0" applyAlignment="1" applyBorder="1" applyFont="1">
      <alignment readingOrder="0"/>
    </xf>
    <xf borderId="21" fillId="3" fontId="7" numFmtId="164" xfId="0" applyAlignment="1" applyBorder="1" applyFont="1" applyNumberFormat="1">
      <alignment horizontal="center"/>
    </xf>
    <xf borderId="17" fillId="3" fontId="7" numFmtId="164" xfId="0" applyAlignment="1" applyBorder="1" applyFont="1" applyNumberFormat="1">
      <alignment horizontal="center" readingOrder="0"/>
    </xf>
    <xf borderId="30" fillId="0" fontId="3" numFmtId="0" xfId="0" applyAlignment="1" applyBorder="1" applyFont="1">
      <alignment readingOrder="0"/>
    </xf>
    <xf borderId="31" fillId="3" fontId="19" numFmtId="164" xfId="0" applyAlignment="1" applyBorder="1" applyFont="1" applyNumberFormat="1">
      <alignment horizontal="center"/>
    </xf>
    <xf borderId="26" fillId="3" fontId="19" numFmtId="164" xfId="0" applyAlignment="1" applyBorder="1" applyFont="1" applyNumberFormat="1">
      <alignment horizontal="center"/>
    </xf>
    <xf borderId="32" fillId="3" fontId="19" numFmtId="164" xfId="0" applyAlignment="1" applyBorder="1" applyFont="1" applyNumberFormat="1">
      <alignment horizontal="center"/>
    </xf>
    <xf borderId="10" fillId="0" fontId="3" numFmtId="0" xfId="0" applyAlignment="1" applyBorder="1" applyFont="1">
      <alignment readingOrder="0"/>
    </xf>
    <xf borderId="18" fillId="3" fontId="20" numFmtId="164" xfId="0" applyAlignment="1" applyBorder="1" applyFont="1" applyNumberFormat="1">
      <alignment horizontal="center"/>
    </xf>
    <xf borderId="33" fillId="3" fontId="20" numFmtId="164" xfId="0" applyAlignment="1" applyBorder="1" applyFont="1" applyNumberFormat="1">
      <alignment horizontal="center"/>
    </xf>
    <xf borderId="11" fillId="3" fontId="20" numFmtId="164" xfId="0" applyAlignment="1" applyBorder="1" applyFont="1" applyNumberFormat="1">
      <alignment horizontal="center"/>
    </xf>
    <xf borderId="10" fillId="5" fontId="17" numFmtId="0" xfId="0" applyAlignment="1" applyBorder="1" applyFont="1">
      <alignment readingOrder="0"/>
    </xf>
    <xf borderId="10" fillId="9" fontId="7" numFmtId="164" xfId="0" applyAlignment="1" applyBorder="1" applyFont="1" applyNumberFormat="1">
      <alignment horizontal="center"/>
    </xf>
    <xf borderId="0" fillId="3" fontId="2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19</xdr:row>
      <xdr:rowOff>0</xdr:rowOff>
    </xdr:from>
    <xdr:ext cx="6953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6953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7.63"/>
    <col customWidth="1" min="2" max="3" width="15.5"/>
    <col customWidth="1" min="4" max="4" width="14.0"/>
    <col customWidth="1" min="5" max="6" width="37.75"/>
    <col customWidth="1" min="7" max="7" width="1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>
      <c r="A2" s="5" t="s">
        <v>7</v>
      </c>
      <c r="B2" s="6">
        <v>706853.27</v>
      </c>
      <c r="C2" s="7">
        <v>630371.75</v>
      </c>
      <c r="D2" s="8">
        <v>0.0</v>
      </c>
      <c r="E2" s="8">
        <v>69695.73</v>
      </c>
      <c r="F2" s="8">
        <v>0.0</v>
      </c>
      <c r="G2" s="9">
        <v>2500.0</v>
      </c>
    </row>
    <row r="3">
      <c r="A3" s="10"/>
      <c r="B3" s="11" t="s">
        <v>8</v>
      </c>
      <c r="C3" s="12" t="s">
        <v>9</v>
      </c>
      <c r="D3" s="13" t="s">
        <v>10</v>
      </c>
      <c r="E3" s="13" t="s">
        <v>11</v>
      </c>
      <c r="F3" s="14" t="s">
        <v>12</v>
      </c>
      <c r="G3" s="15" t="s">
        <v>13</v>
      </c>
    </row>
    <row r="4">
      <c r="A4" s="16"/>
      <c r="B4" s="17">
        <f>if(A7="Basic",0.02, if(A7="Professional",0.017, if(A7="Advance",0.015)))</f>
        <v>0.017</v>
      </c>
      <c r="C4" s="18">
        <v>0.01</v>
      </c>
      <c r="D4" s="18">
        <v>0.013</v>
      </c>
      <c r="E4" s="19">
        <v>0.0</v>
      </c>
      <c r="F4" s="20">
        <v>105.0</v>
      </c>
      <c r="G4" s="21">
        <v>0.7419</v>
      </c>
    </row>
    <row r="5">
      <c r="A5" s="22"/>
      <c r="B5" s="22"/>
      <c r="C5" s="22"/>
      <c r="D5" s="23"/>
      <c r="E5" s="24"/>
      <c r="F5" s="24"/>
      <c r="G5" s="24"/>
    </row>
    <row r="6">
      <c r="A6" s="25" t="s">
        <v>14</v>
      </c>
      <c r="B6" s="26" t="s">
        <v>15</v>
      </c>
      <c r="C6" s="27" t="s">
        <v>16</v>
      </c>
      <c r="D6" s="28" t="s">
        <v>17</v>
      </c>
      <c r="E6" s="29" t="s">
        <v>18</v>
      </c>
      <c r="F6" s="30" t="s">
        <v>15</v>
      </c>
      <c r="G6" s="30" t="s">
        <v>16</v>
      </c>
    </row>
    <row r="7">
      <c r="A7" s="31" t="s">
        <v>19</v>
      </c>
      <c r="B7" s="32">
        <v>77.9</v>
      </c>
      <c r="C7" s="33">
        <f>B7*12</f>
        <v>934.8</v>
      </c>
      <c r="D7" s="34"/>
      <c r="E7" s="35" t="s">
        <v>20</v>
      </c>
      <c r="F7" s="36">
        <f>G2*G4</f>
        <v>1854.75</v>
      </c>
      <c r="G7" s="37">
        <f>F7*12</f>
        <v>22257</v>
      </c>
    </row>
    <row r="8">
      <c r="A8" s="38" t="s">
        <v>8</v>
      </c>
      <c r="B8" s="36">
        <f t="shared" ref="B8:B12" si="1">C8/12</f>
        <v>893.0266458</v>
      </c>
      <c r="C8" s="39">
        <f>C2*B4</f>
        <v>10716.31975</v>
      </c>
      <c r="D8" s="40">
        <f t="shared" ref="D8:D10" si="2">B8-F8</f>
        <v>210.1239167</v>
      </c>
      <c r="E8" s="41" t="s">
        <v>10</v>
      </c>
      <c r="F8" s="36">
        <f t="shared" ref="F8:F9" si="3">G8/12</f>
        <v>682.9027292</v>
      </c>
      <c r="G8" s="36">
        <f>C2*D4</f>
        <v>8194.83275</v>
      </c>
    </row>
    <row r="9">
      <c r="A9" s="38" t="s">
        <v>21</v>
      </c>
      <c r="B9" s="36">
        <f t="shared" si="1"/>
        <v>0</v>
      </c>
      <c r="C9" s="39">
        <f>F2*C4</f>
        <v>0</v>
      </c>
      <c r="D9" s="40">
        <f t="shared" si="2"/>
        <v>0</v>
      </c>
      <c r="E9" s="42" t="s">
        <v>22</v>
      </c>
      <c r="F9" s="36">
        <f t="shared" si="3"/>
        <v>0</v>
      </c>
      <c r="G9" s="36">
        <f>F2*E4</f>
        <v>0</v>
      </c>
    </row>
    <row r="10">
      <c r="A10" s="31" t="s">
        <v>23</v>
      </c>
      <c r="B10" s="37">
        <f t="shared" si="1"/>
        <v>58.079775</v>
      </c>
      <c r="C10" s="39">
        <f>E2*C4</f>
        <v>696.9573</v>
      </c>
      <c r="D10" s="40">
        <f t="shared" si="2"/>
        <v>58.079775</v>
      </c>
      <c r="E10" s="43" t="s">
        <v>24</v>
      </c>
      <c r="F10" s="37">
        <v>0.0</v>
      </c>
      <c r="G10" s="37">
        <v>0.0</v>
      </c>
    </row>
    <row r="11">
      <c r="A11" s="38" t="s">
        <v>25</v>
      </c>
      <c r="B11" s="37">
        <f t="shared" si="1"/>
        <v>0</v>
      </c>
      <c r="C11" s="44">
        <v>0.0</v>
      </c>
      <c r="D11" s="45"/>
      <c r="E11" s="46" t="s">
        <v>26</v>
      </c>
      <c r="F11" s="37">
        <v>0.0</v>
      </c>
      <c r="G11" s="37">
        <v>0.0</v>
      </c>
    </row>
    <row r="12">
      <c r="A12" s="38" t="s">
        <v>27</v>
      </c>
      <c r="B12" s="36">
        <f t="shared" si="1"/>
        <v>0</v>
      </c>
      <c r="C12" s="44">
        <v>0.0</v>
      </c>
      <c r="D12" s="47" t="s">
        <v>28</v>
      </c>
      <c r="E12" s="48" t="s">
        <v>29</v>
      </c>
      <c r="F12" s="36">
        <v>0.0</v>
      </c>
      <c r="G12" s="36">
        <v>0.0</v>
      </c>
    </row>
    <row r="13">
      <c r="A13" s="49" t="s">
        <v>30</v>
      </c>
      <c r="B13" s="36">
        <f t="shared" ref="B13:C13" si="4">SUM(B7:B12)</f>
        <v>1029.006421</v>
      </c>
      <c r="C13" s="39">
        <f t="shared" si="4"/>
        <v>12348.07705</v>
      </c>
      <c r="D13" s="40">
        <f>D8+D10</f>
        <v>268.2036917</v>
      </c>
      <c r="E13" s="50" t="s">
        <v>31</v>
      </c>
      <c r="F13" s="36">
        <f t="shared" ref="F13:G13" si="5">SUM(F7:F12)</f>
        <v>2537.652729</v>
      </c>
      <c r="G13" s="36">
        <f t="shared" si="5"/>
        <v>30451.83275</v>
      </c>
    </row>
    <row r="14">
      <c r="A14" s="51"/>
      <c r="B14" s="52"/>
      <c r="C14" s="52"/>
      <c r="D14" s="53"/>
      <c r="E14" s="54" t="s">
        <v>32</v>
      </c>
      <c r="F14" s="55">
        <f>F13-B13</f>
        <v>1508.646308</v>
      </c>
      <c r="G14" s="55">
        <f>F14*12</f>
        <v>18103.7557</v>
      </c>
    </row>
    <row r="15">
      <c r="A15" s="56" t="s">
        <v>33</v>
      </c>
      <c r="B15" s="57"/>
      <c r="C15" s="58" t="s">
        <v>34</v>
      </c>
      <c r="D15" s="23"/>
      <c r="E15" s="59"/>
      <c r="F15" s="59"/>
      <c r="G15" s="59"/>
    </row>
    <row r="16">
      <c r="A16" s="60" t="s">
        <v>35</v>
      </c>
      <c r="B16" s="61">
        <v>40346.0</v>
      </c>
      <c r="C16" s="62"/>
      <c r="D16" s="63"/>
      <c r="E16" s="59"/>
      <c r="F16" s="59"/>
      <c r="G16" s="59"/>
    </row>
    <row r="17">
      <c r="A17" s="60" t="s">
        <v>36</v>
      </c>
      <c r="B17" s="64">
        <v>4039.0</v>
      </c>
      <c r="C17" s="65">
        <f>B17/B16</f>
        <v>0.1001090567</v>
      </c>
      <c r="D17" s="59"/>
      <c r="E17" s="59"/>
      <c r="F17" s="59"/>
      <c r="G17" s="59"/>
    </row>
    <row r="18">
      <c r="A18" s="60" t="s">
        <v>33</v>
      </c>
      <c r="B18" s="66">
        <v>2359.0</v>
      </c>
      <c r="C18" s="67">
        <f>B18/B16</f>
        <v>0.05846924106</v>
      </c>
      <c r="D18" s="68"/>
      <c r="E18" s="69"/>
      <c r="F18" s="69"/>
      <c r="G18" s="69"/>
    </row>
    <row r="19">
      <c r="A19" s="70" t="s">
        <v>37</v>
      </c>
      <c r="B19" s="71">
        <f>(B18/B17)-1</f>
        <v>-0.4159445407</v>
      </c>
      <c r="C19" s="68"/>
      <c r="D19" s="68"/>
      <c r="E19" s="72" t="s">
        <v>38</v>
      </c>
    </row>
    <row r="20">
      <c r="A20" s="70" t="s">
        <v>39</v>
      </c>
      <c r="B20" s="73">
        <f>(B17-B18)/100*70*B23</f>
        <v>273396.48</v>
      </c>
      <c r="C20" s="74" t="s">
        <v>40</v>
      </c>
      <c r="D20" s="68"/>
      <c r="E20" s="75" t="str">
        <f>A1</f>
        <v>Keratin Revolution Professional</v>
      </c>
      <c r="F20" s="76"/>
      <c r="G20" s="76"/>
    </row>
    <row r="21">
      <c r="A21" s="59"/>
      <c r="B21" s="59"/>
      <c r="C21" s="59"/>
      <c r="D21" s="68"/>
      <c r="E21" s="77" t="s">
        <v>41</v>
      </c>
      <c r="F21" s="78">
        <f>B7</f>
        <v>77.9</v>
      </c>
      <c r="G21" s="78">
        <f>F7</f>
        <v>1854.75</v>
      </c>
    </row>
    <row r="22">
      <c r="A22" s="79" t="s">
        <v>42</v>
      </c>
      <c r="C22" s="68"/>
      <c r="D22" s="68"/>
      <c r="E22" s="77" t="s">
        <v>43</v>
      </c>
      <c r="F22" s="78">
        <f>B8+B9+B10</f>
        <v>951.1064208</v>
      </c>
      <c r="G22" s="78">
        <f>F8+F9+F10</f>
        <v>682.9027292</v>
      </c>
    </row>
    <row r="23">
      <c r="A23" s="80" t="s">
        <v>44</v>
      </c>
      <c r="B23" s="81">
        <v>232.48</v>
      </c>
      <c r="C23" s="68"/>
      <c r="D23" s="68"/>
      <c r="E23" s="77" t="s">
        <v>45</v>
      </c>
      <c r="F23" s="82">
        <f>(G21+G22)-(F21+F22)</f>
        <v>1508.646308</v>
      </c>
      <c r="G23" s="83"/>
    </row>
    <row r="24">
      <c r="A24" s="60" t="s">
        <v>46</v>
      </c>
      <c r="B24" s="84">
        <v>3238.0</v>
      </c>
      <c r="C24" s="85"/>
      <c r="D24" s="68"/>
      <c r="E24" s="75" t="s">
        <v>47</v>
      </c>
      <c r="F24" s="86" t="s">
        <v>48</v>
      </c>
      <c r="G24" s="78">
        <f>C32</f>
        <v>5421.627333</v>
      </c>
    </row>
    <row r="25">
      <c r="A25" s="59"/>
      <c r="B25" s="59"/>
      <c r="C25" s="68"/>
      <c r="D25" s="68"/>
      <c r="E25" s="87" t="s">
        <v>49</v>
      </c>
      <c r="F25" s="88">
        <f>G24-F23</f>
        <v>3912.981025</v>
      </c>
      <c r="G25" s="83"/>
    </row>
    <row r="26">
      <c r="A26" s="59"/>
      <c r="B26" s="89" t="s">
        <v>50</v>
      </c>
      <c r="C26" s="90" t="s">
        <v>51</v>
      </c>
      <c r="D26" s="91" t="s">
        <v>52</v>
      </c>
      <c r="E26" s="92"/>
      <c r="F26" s="92"/>
      <c r="G26" s="92"/>
    </row>
    <row r="27">
      <c r="A27" s="93" t="s">
        <v>53</v>
      </c>
      <c r="B27" s="94">
        <v>0.02</v>
      </c>
      <c r="C27" s="95">
        <v>0.05</v>
      </c>
      <c r="D27" s="96">
        <v>0.1</v>
      </c>
      <c r="E27" s="92"/>
      <c r="F27" s="92"/>
      <c r="G27" s="92"/>
    </row>
    <row r="28">
      <c r="A28" s="97" t="s">
        <v>54</v>
      </c>
      <c r="B28" s="98">
        <f>C18*(1+B27)</f>
        <v>0.05963862589</v>
      </c>
      <c r="C28" s="99">
        <f>C18*(1+C27)</f>
        <v>0.06139270312</v>
      </c>
      <c r="D28" s="100">
        <f>C18*(1+D27)</f>
        <v>0.06431616517</v>
      </c>
      <c r="E28" s="59"/>
      <c r="F28" s="59"/>
      <c r="G28" s="59"/>
    </row>
    <row r="29">
      <c r="A29" s="101" t="s">
        <v>55</v>
      </c>
      <c r="B29" s="102">
        <f>(((B16*B28)-B18)*B23)/12</f>
        <v>914.0338667</v>
      </c>
      <c r="C29" s="103">
        <f>(((B16*C28)-B18)*B23)/12</f>
        <v>2285.084667</v>
      </c>
      <c r="D29" s="104">
        <f>(((B16*D28)-B18)*B23)/12</f>
        <v>4570.169333</v>
      </c>
      <c r="E29" s="59"/>
      <c r="F29" s="59"/>
      <c r="G29" s="59"/>
    </row>
    <row r="30">
      <c r="A30" s="93" t="s">
        <v>56</v>
      </c>
      <c r="B30" s="94">
        <v>0.03</v>
      </c>
      <c r="C30" s="95">
        <v>0.05</v>
      </c>
      <c r="D30" s="96">
        <v>0.07</v>
      </c>
      <c r="E30" s="105"/>
      <c r="F30" s="59"/>
      <c r="G30" s="59"/>
    </row>
    <row r="31">
      <c r="A31" s="106" t="s">
        <v>57</v>
      </c>
      <c r="B31" s="107">
        <f>((B23*B30)*B24)/12</f>
        <v>1881.9256</v>
      </c>
      <c r="C31" s="103">
        <f>((B23*C30)*B24)/12</f>
        <v>3136.542667</v>
      </c>
      <c r="D31" s="108">
        <f>((B23*D30)*B24)/12</f>
        <v>4391.159733</v>
      </c>
      <c r="E31" s="59"/>
      <c r="F31" s="59"/>
      <c r="G31" s="59"/>
    </row>
    <row r="32">
      <c r="A32" s="109" t="s">
        <v>58</v>
      </c>
      <c r="B32" s="110">
        <f t="shared" ref="B32:D32" si="6">B29+B31</f>
        <v>2795.959467</v>
      </c>
      <c r="C32" s="111">
        <f t="shared" si="6"/>
        <v>5421.627333</v>
      </c>
      <c r="D32" s="112">
        <f t="shared" si="6"/>
        <v>8961.329067</v>
      </c>
      <c r="E32" s="59"/>
      <c r="F32" s="59"/>
      <c r="G32" s="59"/>
    </row>
    <row r="33">
      <c r="A33" s="113" t="s">
        <v>59</v>
      </c>
      <c r="B33" s="114">
        <f>-F14</f>
        <v>-1508.646308</v>
      </c>
      <c r="C33" s="115">
        <f>-F14</f>
        <v>-1508.646308</v>
      </c>
      <c r="D33" s="116">
        <f>-F14</f>
        <v>-1508.646308</v>
      </c>
      <c r="E33" s="59"/>
      <c r="F33" s="59"/>
      <c r="G33" s="59"/>
    </row>
    <row r="34">
      <c r="A34" s="117" t="s">
        <v>60</v>
      </c>
      <c r="B34" s="118">
        <f t="shared" ref="B34:D34" si="7">B29+B31+B33</f>
        <v>1287.313158</v>
      </c>
      <c r="C34" s="118">
        <f t="shared" si="7"/>
        <v>3912.981025</v>
      </c>
      <c r="D34" s="118">
        <f t="shared" si="7"/>
        <v>7452.682758</v>
      </c>
      <c r="E34" s="59"/>
      <c r="F34" s="59"/>
      <c r="G34" s="59"/>
    </row>
    <row r="35">
      <c r="A35" s="117" t="s">
        <v>61</v>
      </c>
      <c r="B35" s="118">
        <f t="shared" ref="B35:D35" si="8">B34*12</f>
        <v>15447.7579</v>
      </c>
      <c r="C35" s="118">
        <f t="shared" si="8"/>
        <v>46955.7723</v>
      </c>
      <c r="D35" s="118">
        <f t="shared" si="8"/>
        <v>89432.1931</v>
      </c>
      <c r="E35" s="59"/>
      <c r="F35" s="59"/>
      <c r="G35" s="59"/>
    </row>
    <row r="36">
      <c r="A36" s="119" t="s">
        <v>62</v>
      </c>
    </row>
  </sheetData>
  <mergeCells count="4">
    <mergeCell ref="E19:G19"/>
    <mergeCell ref="A22:B22"/>
    <mergeCell ref="F23:G23"/>
    <mergeCell ref="F25:G25"/>
  </mergeCells>
  <conditionalFormatting sqref="C18">
    <cfRule type="cellIs" dxfId="0" priority="1" operator="lessThan">
      <formula>"3%"</formula>
    </cfRule>
  </conditionalFormatting>
  <dataValidations>
    <dataValidation type="list" allowBlank="1" showErrorMessage="1" sqref="A7">
      <formula1>"Basic,Professional,Advance"</formula1>
    </dataValidation>
  </dataValidations>
  <printOptions horizontalCentered="1"/>
  <pageMargins bottom="0.75" footer="0.0" header="0.0" left="0.7" right="0.7" top="0.75"/>
  <pageSetup paperSize="3" orientation="landscape" pageOrder="overThenDown"/>
  <drawing r:id="rId1"/>
</worksheet>
</file>